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481c594e50aec1/Documents/"/>
    </mc:Choice>
  </mc:AlternateContent>
  <xr:revisionPtr revIDLastSave="1" documentId="8_{E27FC177-DD27-4501-9DA5-D86A8E631D10}" xr6:coauthVersionLast="47" xr6:coauthVersionMax="47" xr10:uidLastSave="{2CAE325D-0789-49CC-AAEC-6C192A8EA8CC}"/>
  <bookViews>
    <workbookView xWindow="-120" yWindow="-120" windowWidth="20730" windowHeight="11160" activeTab="4" xr2:uid="{4D9FAEA0-0239-462B-B161-D61EAA99922A}"/>
  </bookViews>
  <sheets>
    <sheet name="Salary_t" sheetId="1" r:id="rId1"/>
    <sheet name="T-TEST" sheetId="2" r:id="rId2"/>
    <sheet name="PAIRED " sheetId="3" r:id="rId3"/>
    <sheet name="ONE_WAY" sheetId="4" r:id="rId4"/>
    <sheet name="CHisq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6" l="1"/>
  <c r="H6" i="6" l="1"/>
  <c r="D11" i="4"/>
  <c r="C11" i="4"/>
  <c r="B11" i="4"/>
  <c r="A11" i="4"/>
  <c r="B10" i="2" l="1"/>
  <c r="A10" i="2"/>
</calcChain>
</file>

<file path=xl/sharedStrings.xml><?xml version="1.0" encoding="utf-8"?>
<sst xmlns="http://schemas.openxmlformats.org/spreadsheetml/2006/main" count="125" uniqueCount="70">
  <si>
    <t>S.No</t>
  </si>
  <si>
    <t>Experience</t>
  </si>
  <si>
    <t>Gender</t>
  </si>
  <si>
    <t>Role</t>
  </si>
  <si>
    <t>Salary</t>
  </si>
  <si>
    <t>Female</t>
  </si>
  <si>
    <t>Sr.Executive</t>
  </si>
  <si>
    <t>Male</t>
  </si>
  <si>
    <t>Manager</t>
  </si>
  <si>
    <t>Executive</t>
  </si>
  <si>
    <t>Sr.Manager</t>
  </si>
  <si>
    <t>Female_Salary</t>
  </si>
  <si>
    <t>Male_Salary</t>
  </si>
  <si>
    <t>H0: There  is not significance difference between two variables</t>
  </si>
  <si>
    <t>H1: There is significance diference bwtween two variables</t>
  </si>
  <si>
    <t>Alpha:</t>
  </si>
  <si>
    <t>p-value:</t>
  </si>
  <si>
    <t xml:space="preserve">T-test: </t>
  </si>
  <si>
    <t>Paired Test:</t>
  </si>
  <si>
    <t>H0: There is no significance difference between two groups</t>
  </si>
  <si>
    <t>H1: There is significance between Teo groups</t>
  </si>
  <si>
    <t>BP</t>
  </si>
  <si>
    <t>Before Treatment</t>
  </si>
  <si>
    <t>After Treatment</t>
  </si>
  <si>
    <t>One Way Anova</t>
  </si>
  <si>
    <t>H0: There is not significance difference among the groups.</t>
  </si>
  <si>
    <t>H1: There is significance difference among the numbers</t>
  </si>
  <si>
    <t>Chi-Squared test: Association between two Catogorical valriables.</t>
  </si>
  <si>
    <t>H0: There is no association between two catogorical variables.</t>
  </si>
  <si>
    <t>H1: There is association between two catogorical variables.</t>
  </si>
  <si>
    <t>Row Total</t>
  </si>
  <si>
    <t>column total</t>
  </si>
  <si>
    <t>Chi_sq</t>
  </si>
  <si>
    <t>(observed_frequency - Expected frequency)</t>
  </si>
  <si>
    <t>Expected Frequency</t>
  </si>
  <si>
    <t>Column Total</t>
  </si>
  <si>
    <t>Expected frequency</t>
  </si>
  <si>
    <t>t-Test: Two-Sample Assuming Equal Variances</t>
  </si>
  <si>
    <t>Mean</t>
  </si>
  <si>
    <t>Variance</t>
  </si>
  <si>
    <t>Observations</t>
  </si>
  <si>
    <t>Pooled Variance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</si>
  <si>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</si>
  <si>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</si>
  <si>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</si>
  <si>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</si>
  <si>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</si>
  <si>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</si>
  <si>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</si>
  <si>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0.35 &gt; 0.05</t>
  </si>
  <si>
    <t>t-Test: Paired Two Sample for Means</t>
  </si>
  <si>
    <t>Pearson Correlation</t>
  </si>
  <si>
    <t>Anova: Single Factor</t>
  </si>
  <si>
    <t>SUMMARY</t>
  </si>
  <si>
    <t>Groups</t>
  </si>
  <si>
    <t>Count</t>
  </si>
  <si>
    <t>Sum</t>
  </si>
  <si>
    <t>Average</t>
  </si>
  <si>
    <t>ANOVA</t>
  </si>
  <si>
    <t>Source of Variation</t>
  </si>
  <si>
    <t>SS</t>
  </si>
  <si>
    <t>MS</t>
  </si>
  <si>
    <t>F</t>
  </si>
  <si>
    <t>P-value</t>
  </si>
  <si>
    <t>F crit</t>
  </si>
  <si>
    <t>Between Groups</t>
  </si>
  <si>
    <t>Within Groups</t>
  </si>
  <si>
    <t>Total</t>
  </si>
  <si>
    <t>Observerd Frequency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</si>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</sst>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000000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2" xfId="0" applyFont="1" applyBorder="1" applyAlignment="1">
      <alignment horizontal="center" vertical="top"/>
    </xf>
    <xf numFmtId="0" fontId="0" fillId="2" borderId="3" xfId="0" applyFill="1" applyBorder="1"/>
    <xf numFmtId="0" fontId="0" fillId="0" borderId="3" xfId="0" applyBorder="1"/>
    <xf numFmtId="0" fontId="1" fillId="0" borderId="0" xfId="0" applyFont="1"/>
    <xf numFmtId="0" fontId="0" fillId="0" borderId="4" xfId="0" applyBorder="1"/>
    <xf numFmtId="0" fontId="0" fillId="0" borderId="9" xfId="0" applyBorder="1"/>
    <xf numFmtId="0" fontId="0" fillId="0" borderId="1" xfId="0" applyBorder="1"/>
    <xf numFmtId="11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 applyAlignment="1"/>
    <xf numFmtId="0" fontId="0" fillId="0" borderId="5" xfId="0" applyFill="1" applyBorder="1" applyAlignment="1"/>
    <xf numFmtId="0" fontId="2" fillId="0" borderId="6" xfId="0" applyFont="1" applyFill="1" applyBorder="1" applyAlignment="1">
      <alignment horizontal="center"/>
    </xf>
    <xf numFmtId="11" fontId="0" fillId="0" borderId="0" xfId="0" applyNumberFormat="1" applyFill="1" applyBorder="1" applyAlignment="1"/>
    <xf numFmtId="165" fontId="0" fillId="0" borderId="0" xfId="0" applyNumberForma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14491D-F124-4726-8720-4683765A2140}" name="Employe_Salary" displayName="Employe_Salary" ref="A1:E14" totalsRowShown="0" headerRowDxfId="5" headerRowBorderDxfId="4" tableBorderDxfId="3">
  <autoFilter ref="A1:E14" xr:uid="{6C14491D-F124-4726-8720-4683765A2140}"/>
  <tableColumns count="5">
    <tableColumn id="1" xr3:uid="{FE4CDDA6-230D-4F76-88B9-85F38C47F0FC}" name="S.No"/>
    <tableColumn id="2" xr3:uid="{7ADE3E0F-6575-4CE2-9BBF-155B8B744AB1}" name="Experience"/>
    <tableColumn id="3" xr3:uid="{A3F6F054-8713-432D-A67F-FC35D9B07EE9}" name="Gender"/>
    <tableColumn id="4" xr3:uid="{C749834E-AA0C-4EF2-AD2A-A9BD7A8F5969}" name="Role"/>
    <tableColumn id="5" xr3:uid="{F39DD40F-7990-47D2-B2E8-7227ADF9FC5B}" name="Sala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4BD35E-2FAC-4062-9A04-56353BD2CB03}" name="Gender_wise" displayName="Gender_wise" ref="A1:B10" totalsRowCount="1">
  <autoFilter ref="A1:B9" xr:uid="{5D4BD35E-2FAC-4062-9A04-56353BD2CB03}"/>
  <tableColumns count="2">
    <tableColumn id="1" xr3:uid="{465D5D2C-17D7-405F-9284-218C58B9284C}" name="Female_Salary" totalsRowFunction="custom" totalsRowDxfId="2">
      <totalsRowFormula>SUM(A2:A6)</totalsRowFormula>
    </tableColumn>
    <tableColumn id="2" xr3:uid="{FD2FAA05-EAE7-42D3-8266-6A32FB227304}" name="Male_Salary" totalsRowFunction="custom" dataDxfId="1" totalsRowDxfId="0">
      <totalsRowFormula>SUM(Gender_wise[Male_Salary])</totalsRow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2871BD-B0BE-4B3A-93A9-C40B1808BF11}" name="oneway" displayName="oneway" ref="A6:D11" totalsRowCount="1">
  <autoFilter ref="A6:D10" xr:uid="{2C2871BD-B0BE-4B3A-93A9-C40B1808BF11}"/>
  <tableColumns count="4">
    <tableColumn id="1" xr3:uid="{E9F39D45-D166-4304-A2D3-315351835570}" name="Executive" totalsRowFunction="custom">
      <totalsRowFormula>SUM(oneway[Executive])</totalsRowFormula>
    </tableColumn>
    <tableColumn id="2" xr3:uid="{09D900AA-21AC-41F1-A138-BECA8E58B599}" name="Sr.Executive" totalsRowFunction="custom">
      <totalsRowFormula>SUM(oneway[Sr.Executive])</totalsRowFormula>
    </tableColumn>
    <tableColumn id="3" xr3:uid="{0CD24E0B-513D-48EA-9F1D-7A488304859B}" name="Manager" totalsRowFunction="custom">
      <totalsRowFormula>SUM(C7:C9)</totalsRowFormula>
    </tableColumn>
    <tableColumn id="4" xr3:uid="{ADAE92E6-DF35-42EC-BC73-AAE9E3E9A963}" name="Sr.Manager" totalsRowFunction="custom">
      <totalsRowFormula>SUM(D7:D8)</totalsRow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0A5223-CBF8-4944-8DDD-1E2E2179DFBA}" name="Chi_Sq" displayName="Chi_Sq" ref="A6:F9" totalsRowShown="0">
  <autoFilter ref="A6:F9" xr:uid="{A40A5223-CBF8-4944-8DDD-1E2E2179DFBA}"/>
  <tableColumns count="6">
    <tableColumn id="1" xr3:uid="{A2956138-AF32-40A2-B02C-D7492CC9A6EB}" name="Gender"/>
    <tableColumn id="2" xr3:uid="{73671499-B499-4B32-91F2-39068A70EF96}" name="Executive"/>
    <tableColumn id="3" xr3:uid="{21C340CD-1207-473E-8EA2-097F9C078AD0}" name="Sr.Executive"/>
    <tableColumn id="4" xr3:uid="{517A0A27-1370-49B0-BACC-4CA103A26F9D}" name="Manager"/>
    <tableColumn id="5" xr3:uid="{FB30A053-1129-4E6D-8334-F6984A14A8F1}" name="Sr.Manager"/>
    <tableColumn id="6" xr3:uid="{FF190B6E-3686-48A9-BF67-5017C89AA15F}" name="Row 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A27DC-72D8-432E-B132-FEFE8E249B19}">
  <dimension ref="A1:E14"/>
  <sheetViews>
    <sheetView zoomScale="145" zoomScaleNormal="145" workbookViewId="0">
      <selection activeCell="G1" sqref="G1"/>
    </sheetView>
  </sheetViews>
  <sheetFormatPr defaultRowHeight="15" x14ac:dyDescent="0.25"/>
  <cols>
    <col min="2" max="2" width="13" customWidth="1"/>
    <col min="3" max="3" width="9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4.5</v>
      </c>
      <c r="C2" t="s">
        <v>5</v>
      </c>
      <c r="D2" t="s">
        <v>6</v>
      </c>
      <c r="E2">
        <v>1000000</v>
      </c>
    </row>
    <row r="3" spans="1:5" x14ac:dyDescent="0.25">
      <c r="A3">
        <v>2</v>
      </c>
      <c r="B3">
        <v>9</v>
      </c>
      <c r="C3" t="s">
        <v>7</v>
      </c>
      <c r="D3" t="s">
        <v>8</v>
      </c>
      <c r="E3">
        <v>1258000</v>
      </c>
    </row>
    <row r="4" spans="1:5" x14ac:dyDescent="0.25">
      <c r="A4">
        <v>3</v>
      </c>
      <c r="B4">
        <v>3.6</v>
      </c>
      <c r="C4" t="s">
        <v>7</v>
      </c>
      <c r="D4" t="s">
        <v>6</v>
      </c>
      <c r="E4">
        <v>908000</v>
      </c>
    </row>
    <row r="5" spans="1:5" x14ac:dyDescent="0.25">
      <c r="A5">
        <v>4</v>
      </c>
      <c r="B5">
        <v>8</v>
      </c>
      <c r="C5" t="s">
        <v>7</v>
      </c>
      <c r="D5" t="s">
        <v>6</v>
      </c>
      <c r="E5">
        <v>840000</v>
      </c>
    </row>
    <row r="6" spans="1:5" x14ac:dyDescent="0.25">
      <c r="A6">
        <v>5</v>
      </c>
      <c r="B6">
        <v>1</v>
      </c>
      <c r="C6" t="s">
        <v>5</v>
      </c>
      <c r="D6" t="s">
        <v>9</v>
      </c>
      <c r="E6">
        <v>500000</v>
      </c>
    </row>
    <row r="7" spans="1:5" x14ac:dyDescent="0.25">
      <c r="A7">
        <v>6</v>
      </c>
      <c r="B7">
        <v>12</v>
      </c>
      <c r="C7" t="s">
        <v>5</v>
      </c>
      <c r="D7" t="s">
        <v>10</v>
      </c>
      <c r="E7">
        <v>1500000</v>
      </c>
    </row>
    <row r="8" spans="1:5" x14ac:dyDescent="0.25">
      <c r="A8">
        <v>7</v>
      </c>
      <c r="B8">
        <v>4</v>
      </c>
      <c r="C8" t="s">
        <v>7</v>
      </c>
      <c r="D8" t="s">
        <v>6</v>
      </c>
      <c r="E8">
        <v>800000</v>
      </c>
    </row>
    <row r="9" spans="1:5" x14ac:dyDescent="0.25">
      <c r="A9">
        <v>8</v>
      </c>
      <c r="B9">
        <v>5.5</v>
      </c>
      <c r="C9" t="s">
        <v>5</v>
      </c>
      <c r="D9" t="s">
        <v>8</v>
      </c>
      <c r="E9">
        <v>1250000</v>
      </c>
    </row>
    <row r="10" spans="1:5" x14ac:dyDescent="0.25">
      <c r="A10">
        <v>9</v>
      </c>
      <c r="B10">
        <v>2.2999999999999998</v>
      </c>
      <c r="C10" t="s">
        <v>7</v>
      </c>
      <c r="D10" t="s">
        <v>9</v>
      </c>
      <c r="E10">
        <v>550000</v>
      </c>
    </row>
    <row r="11" spans="1:5" x14ac:dyDescent="0.25">
      <c r="A11">
        <v>10</v>
      </c>
      <c r="B11">
        <v>1.9</v>
      </c>
      <c r="C11" t="s">
        <v>7</v>
      </c>
      <c r="D11" t="s">
        <v>9</v>
      </c>
      <c r="E11">
        <v>630000</v>
      </c>
    </row>
    <row r="12" spans="1:5" x14ac:dyDescent="0.25">
      <c r="A12">
        <v>11</v>
      </c>
      <c r="B12">
        <v>9.5</v>
      </c>
      <c r="C12" t="s">
        <v>5</v>
      </c>
      <c r="D12" t="s">
        <v>8</v>
      </c>
      <c r="E12">
        <v>1100000</v>
      </c>
    </row>
    <row r="13" spans="1:5" x14ac:dyDescent="0.25">
      <c r="A13">
        <v>12</v>
      </c>
      <c r="B13">
        <v>14</v>
      </c>
      <c r="C13" t="s">
        <v>7</v>
      </c>
      <c r="D13" t="s">
        <v>10</v>
      </c>
      <c r="E13">
        <v>1630000</v>
      </c>
    </row>
    <row r="14" spans="1:5" x14ac:dyDescent="0.25">
      <c r="A14">
        <v>13</v>
      </c>
      <c r="B14">
        <v>3</v>
      </c>
      <c r="C14" t="s">
        <v>7</v>
      </c>
      <c r="D14" t="s">
        <v>9</v>
      </c>
      <c r="E14">
        <v>600000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9F3F4-2C61-4B4F-A6D7-126F45DC267E}">
  <dimension ref="A1:G20"/>
  <sheetViews>
    <sheetView workbookViewId="0">
      <selection activeCell="E5" sqref="E5"/>
    </sheetView>
  </sheetViews>
  <sheetFormatPr defaultRowHeight="15" x14ac:dyDescent="0.25"/>
  <cols>
    <col min="1" max="1" width="16.28515625" customWidth="1"/>
    <col min="2" max="2" width="16" customWidth="1"/>
    <col min="5" max="5" width="21.140625" customWidth="1"/>
    <col min="6" max="6" width="20.5703125" customWidth="1"/>
    <col min="7" max="7" width="13.42578125" customWidth="1"/>
    <col min="8" max="8" width="9.140625" customWidth="1"/>
  </cols>
  <sheetData>
    <row r="1" spans="1:7" x14ac:dyDescent="0.25">
      <c r="A1" t="s">
        <v>11</v>
      </c>
      <c r="B1" t="s">
        <v>12</v>
      </c>
      <c r="C1" s="4" t="s">
        <v>17</v>
      </c>
    </row>
    <row r="2" spans="1:7" x14ac:dyDescent="0.25">
      <c r="A2" s="2">
        <v>1000000</v>
      </c>
      <c r="B2" s="2">
        <v>1258000</v>
      </c>
      <c r="C2" s="4" t="s">
        <v>13</v>
      </c>
    </row>
    <row r="3" spans="1:7" x14ac:dyDescent="0.25">
      <c r="A3" s="3">
        <v>500000</v>
      </c>
      <c r="B3" s="3">
        <v>908000</v>
      </c>
      <c r="C3" s="4" t="s">
        <v>14</v>
      </c>
    </row>
    <row r="4" spans="1:7" x14ac:dyDescent="0.25">
      <c r="A4" s="2">
        <v>1500000</v>
      </c>
      <c r="B4" s="2">
        <v>840000</v>
      </c>
      <c r="C4" t="s">
        <v>15</v>
      </c>
      <c r="D4">
        <v>0.05</v>
      </c>
    </row>
    <row r="5" spans="1:7" x14ac:dyDescent="0.25">
      <c r="A5" s="3">
        <v>1250000</v>
      </c>
      <c r="B5" s="3">
        <v>800000</v>
      </c>
      <c r="C5" t="s">
        <v>16</v>
      </c>
      <c r="D5">
        <v>0.35</v>
      </c>
      <c r="E5" t="s">
        <v>49</v>
      </c>
    </row>
    <row r="6" spans="1:7" x14ac:dyDescent="0.25">
      <c r="A6" s="2">
        <v>1100000</v>
      </c>
      <c r="B6" s="2">
        <v>550000</v>
      </c>
    </row>
    <row r="7" spans="1:7" x14ac:dyDescent="0.25">
      <c r="B7" s="3">
        <v>630000</v>
      </c>
      <c r="E7" t="s">
        <v>37</v>
      </c>
    </row>
    <row r="8" spans="1:7" ht="15.75" thickBot="1" x14ac:dyDescent="0.3">
      <c r="B8" s="2">
        <v>1630000</v>
      </c>
    </row>
    <row r="9" spans="1:7" x14ac:dyDescent="0.25">
      <c r="B9" s="3">
        <v>600000</v>
      </c>
      <c r="E9" s="17"/>
      <c r="F9" s="17">
        <v>1000000</v>
      </c>
      <c r="G9" s="17">
        <v>1258000</v>
      </c>
    </row>
    <row r="10" spans="1:7" x14ac:dyDescent="0.25">
      <c r="A10">
        <f>SUM(A2:A6)</f>
        <v>5350000</v>
      </c>
      <c r="B10" s="5">
        <f>SUM(Gender_wise[Male_Salary])</f>
        <v>7216000</v>
      </c>
      <c r="E10" s="15" t="s">
        <v>38</v>
      </c>
      <c r="F10" s="15">
        <v>1087500</v>
      </c>
      <c r="G10" s="15">
        <v>851142.85714285716</v>
      </c>
    </row>
    <row r="11" spans="1:7" x14ac:dyDescent="0.25">
      <c r="E11" s="15" t="s">
        <v>39</v>
      </c>
      <c r="F11" s="15">
        <v>180625000000</v>
      </c>
      <c r="G11" s="15">
        <v>135875809523.80957</v>
      </c>
    </row>
    <row r="12" spans="1:7" x14ac:dyDescent="0.25">
      <c r="E12" s="15" t="s">
        <v>40</v>
      </c>
      <c r="F12" s="15">
        <v>4</v>
      </c>
      <c r="G12" s="15">
        <v>7</v>
      </c>
    </row>
    <row r="13" spans="1:7" x14ac:dyDescent="0.25">
      <c r="E13" s="15" t="s">
        <v>41</v>
      </c>
      <c r="F13" s="15">
        <v>150792206349.20639</v>
      </c>
      <c r="G13" s="15"/>
    </row>
    <row r="14" spans="1:7" x14ac:dyDescent="0.25">
      <c r="E14" s="15" t="s">
        <v>42</v>
      </c>
      <c r="F14" s="15">
        <v>0</v>
      </c>
      <c r="G14" s="15"/>
    </row>
    <row r="15" spans="1:7" x14ac:dyDescent="0.25">
      <c r="E15" s="15" t="s">
        <v>43</v>
      </c>
      <c r="F15" s="15">
        <v>9</v>
      </c>
      <c r="G15" s="15"/>
    </row>
    <row r="16" spans="1:7" x14ac:dyDescent="0.25">
      <c r="E16" s="15" t="s">
        <v>44</v>
      </c>
      <c r="F16" s="15">
        <v>0.97109553371122848</v>
      </c>
      <c r="G16" s="15"/>
    </row>
    <row r="17" spans="5:7" x14ac:dyDescent="0.25">
      <c r="E17" s="15" t="s">
        <v>45</v>
      </c>
      <c r="F17" s="15">
        <v>0.17843698684441761</v>
      </c>
      <c r="G17" s="15"/>
    </row>
    <row r="18" spans="5:7" x14ac:dyDescent="0.25">
      <c r="E18" s="15" t="s">
        <v>46</v>
      </c>
      <c r="F18" s="15">
        <v>1.8331129326562374</v>
      </c>
      <c r="G18" s="15"/>
    </row>
    <row r="19" spans="5:7" x14ac:dyDescent="0.25">
      <c r="E19" s="15" t="s">
        <v>47</v>
      </c>
      <c r="F19" s="15">
        <v>0.35687397368883522</v>
      </c>
      <c r="G19" s="15"/>
    </row>
    <row r="20" spans="5:7" ht="15.75" thickBot="1" x14ac:dyDescent="0.3">
      <c r="E20" s="16" t="s">
        <v>48</v>
      </c>
      <c r="F20" s="16">
        <v>2.2621571627982053</v>
      </c>
      <c r="G20" s="1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D3C2A-741B-4763-AFD4-ADD3D7BE5037}">
  <dimension ref="A1:L25"/>
  <sheetViews>
    <sheetView zoomScale="145" zoomScaleNormal="145" workbookViewId="0">
      <selection activeCell="A10" sqref="A10"/>
    </sheetView>
  </sheetViews>
  <sheetFormatPr defaultRowHeight="15" x14ac:dyDescent="0.25"/>
  <cols>
    <col min="2" max="2" width="16.85546875" customWidth="1"/>
    <col min="3" max="3" width="34.140625" bestFit="1" customWidth="1"/>
    <col min="4" max="4" width="17.42578125" customWidth="1"/>
    <col min="5" max="5" width="9.7109375" customWidth="1"/>
    <col min="6" max="6" width="9.85546875" customWidth="1"/>
    <col min="7" max="7" width="7.5703125" customWidth="1"/>
  </cols>
  <sheetData>
    <row r="1" spans="1:12" x14ac:dyDescent="0.25">
      <c r="A1" s="4" t="s">
        <v>18</v>
      </c>
    </row>
    <row r="2" spans="1:12" x14ac:dyDescent="0.25">
      <c r="A2" s="4" t="s">
        <v>19</v>
      </c>
    </row>
    <row r="3" spans="1:12" x14ac:dyDescent="0.25">
      <c r="A3" s="4" t="s">
        <v>20</v>
      </c>
    </row>
    <row r="4" spans="1:12" ht="15.75" thickBot="1" x14ac:dyDescent="0.3"/>
    <row r="5" spans="1:12" ht="15.75" thickBot="1" x14ac:dyDescent="0.3">
      <c r="A5" s="11" t="s">
        <v>21</v>
      </c>
      <c r="B5" s="6" t="s">
        <v>22</v>
      </c>
      <c r="C5" s="7">
        <v>140</v>
      </c>
      <c r="D5" s="7">
        <v>135</v>
      </c>
      <c r="E5" s="7">
        <v>150</v>
      </c>
      <c r="F5" s="7">
        <v>155</v>
      </c>
      <c r="G5" s="7">
        <v>160</v>
      </c>
      <c r="H5" s="7">
        <v>145</v>
      </c>
      <c r="I5" s="7">
        <v>148</v>
      </c>
      <c r="J5" s="7">
        <v>165</v>
      </c>
      <c r="K5" s="7">
        <v>152</v>
      </c>
      <c r="L5" s="7">
        <v>158</v>
      </c>
    </row>
    <row r="6" spans="1:12" ht="15.75" thickBot="1" x14ac:dyDescent="0.3">
      <c r="A6" s="12"/>
      <c r="B6" s="6" t="s">
        <v>23</v>
      </c>
      <c r="C6" s="7">
        <v>130</v>
      </c>
      <c r="D6" s="7">
        <v>125</v>
      </c>
      <c r="E6" s="7">
        <v>135</v>
      </c>
      <c r="F6" s="7">
        <v>140</v>
      </c>
      <c r="G6" s="7">
        <v>145</v>
      </c>
      <c r="H6" s="7">
        <v>135</v>
      </c>
      <c r="I6" s="7">
        <v>140</v>
      </c>
      <c r="J6" s="7">
        <v>150</v>
      </c>
      <c r="K6" s="7">
        <v>138</v>
      </c>
      <c r="L6" s="7">
        <v>142</v>
      </c>
    </row>
    <row r="8" spans="1:12" x14ac:dyDescent="0.25">
      <c r="A8" t="s">
        <v>15</v>
      </c>
      <c r="B8">
        <v>0.05</v>
      </c>
    </row>
    <row r="9" spans="1:12" x14ac:dyDescent="0.25">
      <c r="A9" t="s">
        <v>16</v>
      </c>
      <c r="B9" s="8">
        <v>2.2999999999999999E-7</v>
      </c>
      <c r="C9" t="s">
        <v>50</v>
      </c>
    </row>
    <row r="10" spans="1:12" ht="15.75" thickBot="1" x14ac:dyDescent="0.3">
      <c r="F10" s="13"/>
      <c r="G10" s="13"/>
    </row>
    <row r="11" spans="1:12" x14ac:dyDescent="0.25">
      <c r="C11" s="17"/>
      <c r="D11" s="17" t="s">
        <v>22</v>
      </c>
      <c r="E11" s="17" t="s">
        <v>23</v>
      </c>
    </row>
    <row r="12" spans="1:12" x14ac:dyDescent="0.25">
      <c r="C12" s="15" t="s">
        <v>38</v>
      </c>
      <c r="D12" s="15">
        <v>150.80000000000001</v>
      </c>
      <c r="E12" s="15">
        <v>138</v>
      </c>
    </row>
    <row r="13" spans="1:12" x14ac:dyDescent="0.25">
      <c r="C13" s="15" t="s">
        <v>39</v>
      </c>
      <c r="D13" s="15">
        <v>85.066666666666663</v>
      </c>
      <c r="E13" s="15">
        <v>52</v>
      </c>
    </row>
    <row r="14" spans="1:12" x14ac:dyDescent="0.25">
      <c r="C14" s="15" t="s">
        <v>40</v>
      </c>
      <c r="D14" s="15">
        <v>10</v>
      </c>
      <c r="E14" s="15">
        <v>10</v>
      </c>
    </row>
    <row r="15" spans="1:12" x14ac:dyDescent="0.25">
      <c r="C15" s="15" t="s">
        <v>51</v>
      </c>
      <c r="D15" s="15">
        <v>0.9656148798590457</v>
      </c>
      <c r="E15" s="15"/>
    </row>
    <row r="16" spans="1:12" x14ac:dyDescent="0.25">
      <c r="C16" s="15" t="s">
        <v>42</v>
      </c>
      <c r="D16" s="15">
        <v>0</v>
      </c>
      <c r="E16" s="15"/>
    </row>
    <row r="17" spans="3:7" x14ac:dyDescent="0.25">
      <c r="C17" s="15" t="s">
        <v>43</v>
      </c>
      <c r="D17" s="15">
        <v>9</v>
      </c>
      <c r="E17" s="15"/>
    </row>
    <row r="18" spans="3:7" x14ac:dyDescent="0.25">
      <c r="C18" s="15" t="s">
        <v>44</v>
      </c>
      <c r="D18" s="15">
        <v>13.784796645460581</v>
      </c>
      <c r="E18" s="15"/>
    </row>
    <row r="19" spans="3:7" x14ac:dyDescent="0.25">
      <c r="C19" s="15" t="s">
        <v>45</v>
      </c>
      <c r="D19" s="15">
        <v>1.172180228514178E-7</v>
      </c>
      <c r="E19" s="15"/>
    </row>
    <row r="20" spans="3:7" x14ac:dyDescent="0.25">
      <c r="C20" s="15" t="s">
        <v>46</v>
      </c>
      <c r="D20" s="15">
        <v>1.8331129326562374</v>
      </c>
      <c r="E20" s="15"/>
      <c r="F20" s="8"/>
    </row>
    <row r="21" spans="3:7" x14ac:dyDescent="0.25">
      <c r="C21" s="15" t="s">
        <v>47</v>
      </c>
      <c r="D21" s="18">
        <v>2.3443604570283599E-7</v>
      </c>
      <c r="E21" s="15"/>
      <c r="F21" s="14"/>
      <c r="G21" s="14"/>
    </row>
    <row r="22" spans="3:7" ht="15.75" thickBot="1" x14ac:dyDescent="0.3">
      <c r="C22" s="16" t="s">
        <v>48</v>
      </c>
      <c r="D22" s="16">
        <v>2.2621571627982053</v>
      </c>
      <c r="E22" s="16"/>
    </row>
    <row r="25" spans="3:7" x14ac:dyDescent="0.25">
      <c r="C25" s="19">
        <v>2.3443604570283599E-7</v>
      </c>
    </row>
  </sheetData>
  <mergeCells count="1">
    <mergeCell ref="A5:A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C8DB4-3036-4F6F-8DFB-780C29EC0602}">
  <dimension ref="A1:L18"/>
  <sheetViews>
    <sheetView topLeftCell="A3" zoomScale="130" zoomScaleNormal="130" workbookViewId="0">
      <selection activeCell="H6" sqref="H6"/>
    </sheetView>
  </sheetViews>
  <sheetFormatPr defaultRowHeight="15" x14ac:dyDescent="0.25"/>
  <cols>
    <col min="1" max="1" width="14.5703125" customWidth="1"/>
    <col min="2" max="2" width="14" customWidth="1"/>
    <col min="3" max="3" width="12.140625" customWidth="1"/>
    <col min="4" max="4" width="13.28515625" customWidth="1"/>
  </cols>
  <sheetData>
    <row r="1" spans="1:12" x14ac:dyDescent="0.25">
      <c r="A1" s="4" t="s">
        <v>24</v>
      </c>
    </row>
    <row r="3" spans="1:12" x14ac:dyDescent="0.25">
      <c r="A3" t="s">
        <v>25</v>
      </c>
      <c r="F3" t="s">
        <v>52</v>
      </c>
    </row>
    <row r="4" spans="1:12" x14ac:dyDescent="0.25">
      <c r="A4" t="s">
        <v>26</v>
      </c>
    </row>
    <row r="5" spans="1:12" ht="15.75" thickBot="1" x14ac:dyDescent="0.3">
      <c r="F5" t="s">
        <v>53</v>
      </c>
    </row>
    <row r="6" spans="1:12" x14ac:dyDescent="0.25">
      <c r="A6" t="s">
        <v>9</v>
      </c>
      <c r="B6" t="s">
        <v>6</v>
      </c>
      <c r="C6" t="s">
        <v>8</v>
      </c>
      <c r="D6" t="s">
        <v>10</v>
      </c>
      <c r="F6" s="17" t="s">
        <v>54</v>
      </c>
      <c r="G6" s="17" t="s">
        <v>55</v>
      </c>
      <c r="H6" s="17" t="s">
        <v>56</v>
      </c>
      <c r="I6" s="17" t="s">
        <v>57</v>
      </c>
      <c r="J6" s="17" t="s">
        <v>39</v>
      </c>
    </row>
    <row r="7" spans="1:12" x14ac:dyDescent="0.25">
      <c r="A7" s="2">
        <v>500000</v>
      </c>
      <c r="B7" s="2">
        <v>1000000</v>
      </c>
      <c r="C7" s="2">
        <v>1258000</v>
      </c>
      <c r="D7" s="2">
        <v>1500000</v>
      </c>
      <c r="F7" s="15">
        <v>500000</v>
      </c>
      <c r="G7" s="15">
        <v>3</v>
      </c>
      <c r="H7" s="15">
        <v>1780000</v>
      </c>
      <c r="I7" s="15">
        <v>593333.33333333337</v>
      </c>
      <c r="J7" s="15">
        <v>1633333333.3333333</v>
      </c>
    </row>
    <row r="8" spans="1:12" x14ac:dyDescent="0.25">
      <c r="A8" s="3">
        <v>550000</v>
      </c>
      <c r="B8" s="3">
        <v>908000</v>
      </c>
      <c r="C8" s="3">
        <v>1250000</v>
      </c>
      <c r="D8" s="3">
        <v>1630000</v>
      </c>
      <c r="F8" s="15">
        <v>1000000</v>
      </c>
      <c r="G8" s="15">
        <v>3</v>
      </c>
      <c r="H8" s="15">
        <v>2548000</v>
      </c>
      <c r="I8" s="15">
        <v>849333.33333333337</v>
      </c>
      <c r="J8" s="15">
        <v>2981333333.333333</v>
      </c>
    </row>
    <row r="9" spans="1:12" x14ac:dyDescent="0.25">
      <c r="A9" s="2">
        <v>630000</v>
      </c>
      <c r="B9" s="2">
        <v>840000</v>
      </c>
      <c r="C9" s="2">
        <v>1100000</v>
      </c>
      <c r="F9" s="15">
        <v>1258000</v>
      </c>
      <c r="G9" s="15">
        <v>2</v>
      </c>
      <c r="H9" s="15">
        <v>2350000</v>
      </c>
      <c r="I9" s="15">
        <v>1175000</v>
      </c>
      <c r="J9" s="15">
        <v>11250000000</v>
      </c>
    </row>
    <row r="10" spans="1:12" ht="15.75" thickBot="1" x14ac:dyDescent="0.3">
      <c r="A10" s="3">
        <v>600000</v>
      </c>
      <c r="B10" s="3">
        <v>800000</v>
      </c>
      <c r="F10" s="16">
        <v>1500000</v>
      </c>
      <c r="G10" s="16">
        <v>1</v>
      </c>
      <c r="H10" s="16">
        <v>1630000</v>
      </c>
      <c r="I10" s="16">
        <v>1630000</v>
      </c>
      <c r="J10" s="16" t="e">
        <v>#DIV/0!</v>
      </c>
    </row>
    <row r="11" spans="1:12" x14ac:dyDescent="0.25">
      <c r="A11">
        <f>SUM(oneway[Executive])</f>
        <v>2280000</v>
      </c>
      <c r="B11">
        <f>SUM(oneway[Sr.Executive])</f>
        <v>3548000</v>
      </c>
      <c r="C11">
        <f>SUM(C7:C9)</f>
        <v>3608000</v>
      </c>
      <c r="D11">
        <f>SUM(D7:D8)</f>
        <v>3130000</v>
      </c>
    </row>
    <row r="13" spans="1:12" ht="15.75" thickBot="1" x14ac:dyDescent="0.3">
      <c r="F13" t="s">
        <v>58</v>
      </c>
    </row>
    <row r="14" spans="1:12" x14ac:dyDescent="0.25">
      <c r="F14" s="17" t="s">
        <v>59</v>
      </c>
      <c r="G14" s="17" t="s">
        <v>60</v>
      </c>
      <c r="H14" s="17" t="s">
        <v>43</v>
      </c>
      <c r="I14" s="17" t="s">
        <v>61</v>
      </c>
      <c r="J14" s="17" t="s">
        <v>62</v>
      </c>
      <c r="K14" s="17" t="s">
        <v>63</v>
      </c>
      <c r="L14" s="17" t="s">
        <v>64</v>
      </c>
    </row>
    <row r="15" spans="1:12" x14ac:dyDescent="0.25">
      <c r="F15" s="15" t="s">
        <v>65</v>
      </c>
      <c r="G15" s="15">
        <v>969177555555.55542</v>
      </c>
      <c r="H15" s="15">
        <v>3</v>
      </c>
      <c r="I15" s="15">
        <v>323059185185.18512</v>
      </c>
      <c r="J15" s="15">
        <v>78.87443891041012</v>
      </c>
      <c r="K15" s="15">
        <v>1.2455848532362337E-4</v>
      </c>
      <c r="L15" s="15">
        <v>5.4094513180564894</v>
      </c>
    </row>
    <row r="16" spans="1:12" x14ac:dyDescent="0.25">
      <c r="F16" s="15" t="s">
        <v>66</v>
      </c>
      <c r="G16" s="15">
        <v>20479333333.333332</v>
      </c>
      <c r="H16" s="15">
        <v>5</v>
      </c>
      <c r="I16" s="15">
        <v>4095866666.6666665</v>
      </c>
      <c r="J16" s="15"/>
      <c r="K16" s="15"/>
      <c r="L16" s="15"/>
    </row>
    <row r="17" spans="6:12" x14ac:dyDescent="0.25">
      <c r="F17" s="15"/>
      <c r="G17" s="15"/>
      <c r="H17" s="15"/>
      <c r="I17" s="15"/>
      <c r="J17" s="15"/>
      <c r="K17" s="15"/>
      <c r="L17" s="15"/>
    </row>
    <row r="18" spans="6:12" ht="15.75" thickBot="1" x14ac:dyDescent="0.3">
      <c r="F18" s="16" t="s">
        <v>67</v>
      </c>
      <c r="G18" s="16">
        <v>989656888888.88879</v>
      </c>
      <c r="H18" s="16">
        <v>8</v>
      </c>
      <c r="I18" s="16"/>
      <c r="J18" s="16"/>
      <c r="K18" s="16"/>
      <c r="L18" s="16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13BC-1275-4DF1-8FD8-4D3F5D9E3E98}">
  <dimension ref="A1:J14"/>
  <sheetViews>
    <sheetView tabSelected="1" zoomScale="130" zoomScaleNormal="130" workbookViewId="0">
      <selection activeCell="J6" sqref="J6"/>
    </sheetView>
  </sheetViews>
  <sheetFormatPr defaultRowHeight="15" x14ac:dyDescent="0.25"/>
  <cols>
    <col min="1" max="1" width="9.85546875" customWidth="1"/>
    <col min="2" max="2" width="12.28515625" customWidth="1"/>
    <col min="3" max="3" width="14" customWidth="1"/>
    <col min="4" max="4" width="11" customWidth="1"/>
    <col min="5" max="5" width="13.28515625" customWidth="1"/>
    <col min="6" max="6" width="11.85546875" customWidth="1"/>
    <col min="7" max="7" width="19.5703125" bestFit="1" customWidth="1"/>
  </cols>
  <sheetData>
    <row r="1" spans="1:10" x14ac:dyDescent="0.25">
      <c r="A1" t="s">
        <v>27</v>
      </c>
    </row>
    <row r="2" spans="1:10" x14ac:dyDescent="0.25">
      <c r="G2" t="s">
        <v>32</v>
      </c>
      <c r="H2" t="s">
        <v>33</v>
      </c>
    </row>
    <row r="3" spans="1:10" x14ac:dyDescent="0.25">
      <c r="A3" t="s">
        <v>28</v>
      </c>
      <c r="I3" t="s">
        <v>34</v>
      </c>
    </row>
    <row r="4" spans="1:10" x14ac:dyDescent="0.25">
      <c r="A4" t="s">
        <v>29</v>
      </c>
    </row>
    <row r="5" spans="1:10" x14ac:dyDescent="0.25">
      <c r="I5" t="s">
        <v>69</v>
      </c>
      <c r="J5">
        <f>_xlfn.CHISQ.TEST(B7:E8,B12:E13)</f>
        <v>0.62669300829310737</v>
      </c>
    </row>
    <row r="6" spans="1:10" x14ac:dyDescent="0.25">
      <c r="A6" t="s">
        <v>2</v>
      </c>
      <c r="B6" t="s">
        <v>9</v>
      </c>
      <c r="C6" t="s">
        <v>6</v>
      </c>
      <c r="D6" t="s">
        <v>8</v>
      </c>
      <c r="E6" t="s">
        <v>10</v>
      </c>
      <c r="F6" t="s">
        <v>30</v>
      </c>
      <c r="G6" s="4" t="s">
        <v>68</v>
      </c>
      <c r="H6">
        <f>_xlfn.CHISQ.TEST(B7:F8,B12:F13)</f>
        <v>0.78229367133761574</v>
      </c>
    </row>
    <row r="7" spans="1:10" x14ac:dyDescent="0.25">
      <c r="A7" t="s">
        <v>5</v>
      </c>
      <c r="B7">
        <v>1</v>
      </c>
      <c r="C7">
        <v>1</v>
      </c>
      <c r="D7">
        <v>2</v>
      </c>
      <c r="E7">
        <v>1</v>
      </c>
      <c r="F7">
        <v>5</v>
      </c>
    </row>
    <row r="8" spans="1:10" x14ac:dyDescent="0.25">
      <c r="A8" t="s">
        <v>7</v>
      </c>
      <c r="B8">
        <v>3</v>
      </c>
      <c r="C8">
        <v>3</v>
      </c>
      <c r="D8">
        <v>1</v>
      </c>
      <c r="E8">
        <v>1</v>
      </c>
      <c r="F8">
        <v>8</v>
      </c>
    </row>
    <row r="9" spans="1:10" x14ac:dyDescent="0.25">
      <c r="A9" t="s">
        <v>31</v>
      </c>
      <c r="B9">
        <v>4</v>
      </c>
      <c r="C9">
        <v>4</v>
      </c>
      <c r="D9">
        <v>3</v>
      </c>
      <c r="E9">
        <v>2</v>
      </c>
      <c r="F9">
        <v>13</v>
      </c>
    </row>
    <row r="11" spans="1:10" ht="18.75" customHeight="1" x14ac:dyDescent="0.25">
      <c r="A11" s="9" t="s">
        <v>2</v>
      </c>
      <c r="B11" s="9" t="s">
        <v>9</v>
      </c>
      <c r="C11" s="9" t="s">
        <v>6</v>
      </c>
      <c r="D11" s="9" t="s">
        <v>8</v>
      </c>
      <c r="E11" s="9" t="s">
        <v>10</v>
      </c>
      <c r="F11" s="9" t="s">
        <v>30</v>
      </c>
      <c r="G11" s="9" t="s">
        <v>36</v>
      </c>
    </row>
    <row r="12" spans="1:10" x14ac:dyDescent="0.25">
      <c r="A12" s="10" t="s">
        <v>5</v>
      </c>
      <c r="B12" s="10">
        <v>1.54</v>
      </c>
      <c r="C12" s="10">
        <v>1.54</v>
      </c>
      <c r="D12" s="10">
        <v>1.1499999999999999</v>
      </c>
      <c r="E12" s="10">
        <v>0.77</v>
      </c>
      <c r="F12" s="10">
        <v>5</v>
      </c>
    </row>
    <row r="13" spans="1:10" x14ac:dyDescent="0.25">
      <c r="A13" s="10" t="s">
        <v>7</v>
      </c>
      <c r="B13" s="10">
        <v>2.46</v>
      </c>
      <c r="C13" s="10">
        <v>2.46</v>
      </c>
      <c r="D13" s="10">
        <v>1.85</v>
      </c>
      <c r="E13" s="10">
        <v>1.23</v>
      </c>
      <c r="F13" s="10">
        <v>8</v>
      </c>
    </row>
    <row r="14" spans="1:10" ht="30" x14ac:dyDescent="0.25">
      <c r="A14" s="10" t="s">
        <v>35</v>
      </c>
      <c r="B14" s="10">
        <v>4</v>
      </c>
      <c r="C14" s="10">
        <v>4</v>
      </c>
      <c r="D14" s="10">
        <v>3</v>
      </c>
      <c r="E14" s="10">
        <v>2</v>
      </c>
      <c r="F14" s="10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Salary_t</vt:lpstr>
      <vt:lpstr>T-TEST</vt:lpstr>
      <vt:lpstr>PAIRED </vt:lpstr>
      <vt:lpstr>ONE_WAY</vt:lpstr>
      <vt:lpstr>CHisq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Trupti Mohan</dc:creator>
  <cp:lastModifiedBy>Trupti Mohan</cp:lastModifiedBy>
  <dcterms:created xsi:type="dcterms:W3CDTF">2025-08-29T08:17:22Z</dcterms:created>
  <dcterms:modified xsi:type="dcterms:W3CDTF">2025-08-30T05:28:51Z</dcterms:modified>
</cp:coreProperties>
</file>